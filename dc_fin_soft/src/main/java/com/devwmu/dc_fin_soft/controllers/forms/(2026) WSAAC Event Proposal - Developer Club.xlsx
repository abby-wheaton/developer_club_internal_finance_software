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>
    <mc:Choice Requires="x15">
      <x15ac:absPath xmlns:x15ac="http://schemas.microsoft.com/office/spreadsheetml/2010/11/ac" url="C:\Users\sfost\Downloads\"/>
    </mc:Choice>
  </mc:AlternateContent>
  <xr:revisionPtr revIDLastSave="0" documentId="13_ncr:1_{811A562F-5890-470B-AE18-17C05D0F0FC0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Proposal" sheetId="1" r:id="rId1"/>
    <sheet name="Instruction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sRmpfNhbjwTL9mZXk9Ve27UugSoLHgrNq4KktMFJ2b8="/>
    </ext>
  </extLst>
</workbook>
</file>

<file path=xl/calcChain.xml><?xml version="1.0" encoding="utf-8"?>
<calcChain xmlns="http://schemas.openxmlformats.org/spreadsheetml/2006/main">
  <c r="B7" i="1" l="1"/>
  <c r="B6" i="1"/>
  <c r="B5" i="1"/>
  <c r="B3" i="1"/>
  <c r="I11" i="1"/>
  <c r="B2" i="1" s="1"/>
  <c r="I12" i="1"/>
  <c r="I15" i="1" l="1"/>
  <c r="B4" i="1" s="1"/>
  <c r="I16" i="1" l="1"/>
</calcChain>
</file>

<file path=xl/sharedStrings.xml><?xml version="1.0" encoding="utf-8"?>
<sst xmlns="http://schemas.openxmlformats.org/spreadsheetml/2006/main" count="56" uniqueCount="46">
  <si>
    <t>WSAAC Proposal:</t>
  </si>
  <si>
    <t>Event</t>
  </si>
  <si>
    <t>Optional notes:</t>
  </si>
  <si>
    <t>Contact Email:</t>
  </si>
  <si>
    <t>I hereby affirm that all the information provided is accurate and no items requested have yet been purchased</t>
  </si>
  <si>
    <t>Typed Signature:</t>
  </si>
  <si>
    <t>Event Name:</t>
  </si>
  <si>
    <t>Total requested for non-food items:</t>
  </si>
  <si>
    <t>Event Location:</t>
  </si>
  <si>
    <t>Total requested for food items:</t>
  </si>
  <si>
    <t>Is there an entrance fee for WMU Students?</t>
  </si>
  <si>
    <t>Did this event already happen?</t>
  </si>
  <si>
    <t>Total requested:</t>
  </si>
  <si>
    <t>Is any part of this event for the purposes of donations or philanthropic reasons?</t>
  </si>
  <si>
    <t>Total SAFs used:</t>
  </si>
  <si>
    <t>Non-Food Items</t>
  </si>
  <si>
    <t>Food Items</t>
  </si>
  <si>
    <t>Vendor Name</t>
  </si>
  <si>
    <t>Item Requesting</t>
  </si>
  <si>
    <t>Food Item Requesting</t>
  </si>
  <si>
    <t>Estimated Event Attendance?</t>
  </si>
  <si>
    <t>Event Funding Proposal — Instructions</t>
  </si>
  <si>
    <r>
      <t xml:space="preserve">1. Enter complete </t>
    </r>
    <r>
      <rPr>
        <b/>
        <sz val="10"/>
        <color rgb="FF000000"/>
        <rFont val="Georgia"/>
        <family val="1"/>
      </rPr>
      <t>event information</t>
    </r>
    <r>
      <rPr>
        <sz val="10"/>
        <color rgb="FF000000"/>
        <rFont val="Georgia"/>
        <family val="1"/>
      </rPr>
      <t xml:space="preserve"> (name, date, location, expected attendance).</t>
    </r>
  </si>
  <si>
    <r>
      <t xml:space="preserve">2. List all requested items with </t>
    </r>
    <r>
      <rPr>
        <b/>
        <sz val="10"/>
        <color rgb="FF000000"/>
        <rFont val="Georgia"/>
        <family val="1"/>
      </rPr>
      <t>vendor, cost, and amount requested</t>
    </r>
    <r>
      <rPr>
        <sz val="10"/>
        <color rgb="FF000000"/>
        <rFont val="Georgia"/>
        <family val="1"/>
      </rPr>
      <t>.</t>
    </r>
  </si>
  <si>
    <r>
      <t xml:space="preserve">3. Separate </t>
    </r>
    <r>
      <rPr>
        <b/>
        <sz val="10"/>
        <color rgb="FF000000"/>
        <rFont val="Georgia"/>
        <family val="1"/>
      </rPr>
      <t>food and non-food items</t>
    </r>
    <r>
      <rPr>
        <sz val="10"/>
        <color rgb="FF000000"/>
        <rFont val="Georgia"/>
        <family val="1"/>
      </rPr>
      <t xml:space="preserve"> in the correct sections.</t>
    </r>
  </si>
  <si>
    <r>
      <t xml:space="preserve">4. Food requests may not exceed </t>
    </r>
    <r>
      <rPr>
        <b/>
        <sz val="10"/>
        <color rgb="FF000000"/>
        <rFont val="Georgia"/>
        <family val="1"/>
      </rPr>
      <t>$20 per expected attendee</t>
    </r>
    <r>
      <rPr>
        <sz val="10"/>
        <color rgb="FF000000"/>
        <rFont val="Georgia"/>
        <family val="1"/>
      </rPr>
      <t>.</t>
    </r>
  </si>
  <si>
    <r>
      <t xml:space="preserve">5. Attach </t>
    </r>
    <r>
      <rPr>
        <b/>
        <sz val="10"/>
        <color rgb="FF000000"/>
        <rFont val="Georgia"/>
        <family val="1"/>
      </rPr>
      <t>vendor quotes, menus, or price screenshots</t>
    </r>
    <r>
      <rPr>
        <sz val="10"/>
        <color rgb="FF000000"/>
        <rFont val="Georgia"/>
        <family val="1"/>
      </rPr>
      <t>.</t>
    </r>
  </si>
  <si>
    <r>
      <t xml:space="preserve">6. Submit as </t>
    </r>
    <r>
      <rPr>
        <b/>
        <sz val="10"/>
        <color rgb="FF000000"/>
        <rFont val="Georgia"/>
        <family val="1"/>
      </rPr>
      <t>.xlsx before the deadline</t>
    </r>
    <r>
      <rPr>
        <sz val="10"/>
        <color rgb="FF000000"/>
        <rFont val="Georgia"/>
        <family val="1"/>
      </rPr>
      <t>.</t>
    </r>
  </si>
  <si>
    <t>Full RSO Name:</t>
  </si>
  <si>
    <t>goodTemp2026</t>
  </si>
  <si>
    <t>Cost ($)</t>
  </si>
  <si>
    <t>Amount Requesting ($)</t>
  </si>
  <si>
    <t>RSO Representative:</t>
  </si>
  <si>
    <t>Event Date:</t>
  </si>
  <si>
    <t>x</t>
  </si>
  <si>
    <t>Developer Club</t>
  </si>
  <si>
    <t>Khang</t>
  </si>
  <si>
    <t>email@email.com</t>
  </si>
  <si>
    <t>Abby</t>
  </si>
  <si>
    <t>my house</t>
  </si>
  <si>
    <t>15</t>
  </si>
  <si>
    <t>No</t>
  </si>
  <si>
    <t>Yes</t>
  </si>
  <si>
    <t>Walmart</t>
  </si>
  <si>
    <t>Sams Club</t>
  </si>
  <si>
    <t>Meijer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</si>
</sst>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2" x14ac:knownFonts="1">
    <font>
      <sz val="10"/>
      <color rgb="FF000000"/>
      <name val="Arial"/>
      <scheme val="minor"/>
    </font>
    <font>
      <sz val="10"/>
      <color rgb="FF000000"/>
      <name val="Georgia"/>
      <family val="1"/>
    </font>
    <font>
      <b/>
      <sz val="10"/>
      <color rgb="FF000000"/>
      <name val="Georgia"/>
      <family val="1"/>
    </font>
    <font>
      <sz val="10"/>
      <name val="Arial"/>
      <family val="2"/>
    </font>
    <font>
      <i/>
      <sz val="9"/>
      <color rgb="FF000000"/>
      <name val="Georgia"/>
      <family val="1"/>
    </font>
    <font>
      <sz val="8"/>
      <color rgb="FF000000"/>
      <name val="Georgia"/>
      <family val="1"/>
    </font>
    <font>
      <b/>
      <i/>
      <sz val="10"/>
      <color rgb="FF000000"/>
      <name val="Georgia"/>
      <family val="1"/>
    </font>
    <font>
      <sz val="10"/>
      <color rgb="FF000000"/>
      <name val="Arial"/>
      <family val="2"/>
      <scheme val="minor"/>
    </font>
    <font>
      <sz val="10"/>
      <color rgb="FF000000"/>
      <name val="Georgia"/>
      <family val="1"/>
    </font>
    <font>
      <b/>
      <sz val="18"/>
      <color rgb="FF000000"/>
      <name val="Georgia"/>
      <family val="1"/>
    </font>
    <font>
      <sz val="18"/>
      <color rgb="FF000000"/>
      <name val="Arial"/>
      <family val="2"/>
      <scheme val="minor"/>
    </font>
    <font>
      <sz val="10"/>
      <color theme="0"/>
      <name val="Georgia"/>
      <family val="1"/>
    </font>
  </fonts>
  <fills count="5">
    <fill>
      <patternFill patternType="none"/>
    </fill>
    <fill>
      <patternFill patternType="gray125"/>
    </fill>
    <fill>
      <patternFill patternType="solid">
        <fgColor rgb="FF803600"/>
        <bgColor rgb="FF803600"/>
      </patternFill>
    </fill>
    <fill>
      <patternFill patternType="solid">
        <fgColor theme="0"/>
        <bgColor theme="0"/>
      </patternFill>
    </fill>
    <fill>
      <patternFill patternType="solid">
        <fgColor rgb="FFEDE1AA"/>
        <bgColor rgb="FFEDE1AA"/>
      </patternFill>
    </fill>
  </fills>
  <borders count="5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9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0" borderId="0" xfId="0" applyFont="1"/>
    <xf numFmtId="0" fontId="1" fillId="2" borderId="4" xfId="0" applyFont="1" applyFill="1" applyBorder="1"/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1" fillId="3" borderId="3" xfId="0" applyFont="1" applyFill="1" applyBorder="1"/>
    <xf numFmtId="0" fontId="1" fillId="2" borderId="6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1" fillId="2" borderId="7" xfId="0" applyFont="1" applyFill="1" applyBorder="1"/>
    <xf numFmtId="0" fontId="1" fillId="4" borderId="11" xfId="0" applyFont="1" applyFill="1" applyBorder="1"/>
    <xf numFmtId="0" fontId="1" fillId="4" borderId="16" xfId="0" applyFont="1" applyFill="1" applyBorder="1"/>
    <xf numFmtId="0" fontId="1" fillId="4" borderId="20" xfId="0" applyFont="1" applyFill="1" applyBorder="1"/>
    <xf numFmtId="0" fontId="5" fillId="2" borderId="6" xfId="0" applyFont="1" applyFill="1" applyBorder="1" applyAlignment="1">
      <alignment vertical="center" wrapText="1"/>
    </xf>
    <xf numFmtId="0" fontId="1" fillId="4" borderId="24" xfId="0" applyFont="1" applyFill="1" applyBorder="1"/>
    <xf numFmtId="0" fontId="1" fillId="2" borderId="27" xfId="0" applyFont="1" applyFill="1" applyBorder="1"/>
    <xf numFmtId="0" fontId="1" fillId="2" borderId="28" xfId="0" applyFont="1" applyFill="1" applyBorder="1"/>
    <xf numFmtId="0" fontId="1" fillId="4" borderId="11" xfId="0" applyFont="1" applyFill="1" applyBorder="1" applyAlignment="1">
      <alignment horizontal="right" vertical="center"/>
    </xf>
    <xf numFmtId="0" fontId="1" fillId="2" borderId="30" xfId="0" applyFont="1" applyFill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4" borderId="16" xfId="0" applyFont="1" applyFill="1" applyBorder="1" applyAlignment="1">
      <alignment horizontal="right" vertical="center"/>
    </xf>
    <xf numFmtId="0" fontId="1" fillId="3" borderId="7" xfId="0" applyFont="1" applyFill="1" applyBorder="1"/>
    <xf numFmtId="0" fontId="1" fillId="4" borderId="34" xfId="0" applyFont="1" applyFill="1" applyBorder="1" applyAlignment="1">
      <alignment horizontal="right" vertical="center"/>
    </xf>
    <xf numFmtId="0" fontId="1" fillId="3" borderId="4" xfId="0" applyFont="1" applyFill="1" applyBorder="1"/>
    <xf numFmtId="0" fontId="1" fillId="3" borderId="6" xfId="0" applyFont="1" applyFill="1" applyBorder="1"/>
    <xf numFmtId="0" fontId="1" fillId="4" borderId="37" xfId="0" applyFont="1" applyFill="1" applyBorder="1" applyAlignment="1">
      <alignment horizontal="right" vertical="center"/>
    </xf>
    <xf numFmtId="0" fontId="1" fillId="3" borderId="39" xfId="0" applyFont="1" applyFill="1" applyBorder="1"/>
    <xf numFmtId="0" fontId="1" fillId="3" borderId="40" xfId="0" applyFont="1" applyFill="1" applyBorder="1"/>
    <xf numFmtId="0" fontId="1" fillId="3" borderId="41" xfId="0" applyFont="1" applyFill="1" applyBorder="1"/>
    <xf numFmtId="0" fontId="1" fillId="2" borderId="42" xfId="0" applyFont="1" applyFill="1" applyBorder="1"/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4" borderId="47" xfId="0" applyFont="1" applyFill="1" applyBorder="1"/>
    <xf numFmtId="0" fontId="1" fillId="4" borderId="48" xfId="0" applyFont="1" applyFill="1" applyBorder="1"/>
    <xf numFmtId="0" fontId="1" fillId="2" borderId="39" xfId="0" applyFont="1" applyFill="1" applyBorder="1"/>
    <xf numFmtId="0" fontId="1" fillId="2" borderId="40" xfId="0" applyFont="1" applyFill="1" applyBorder="1"/>
    <xf numFmtId="0" fontId="1" fillId="2" borderId="41" xfId="0" applyFont="1" applyFill="1" applyBorder="1"/>
    <xf numFmtId="44" fontId="1" fillId="4" borderId="48" xfId="1" applyFont="1" applyFill="1" applyBorder="1"/>
    <xf numFmtId="44" fontId="1" fillId="4" borderId="49" xfId="1" applyFont="1" applyFill="1" applyBorder="1"/>
    <xf numFmtId="0" fontId="1" fillId="2" borderId="17" xfId="0" applyFont="1" applyFill="1" applyBorder="1"/>
    <xf numFmtId="0" fontId="8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/>
    <xf numFmtId="44" fontId="3" fillId="0" borderId="8" xfId="0" applyNumberFormat="1" applyFont="1" applyBorder="1" applyAlignment="1">
      <alignment horizontal="center" vertical="center"/>
    </xf>
    <xf numFmtId="44" fontId="1" fillId="0" borderId="5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4" xfId="0" applyFont="1" applyBorder="1"/>
    <xf numFmtId="14" fontId="1" fillId="4" borderId="16" xfId="0" applyNumberFormat="1" applyFont="1" applyFill="1" applyBorder="1" applyAlignment="1">
      <alignment horizontal="right" vertical="center"/>
    </xf>
    <xf numFmtId="0" fontId="6" fillId="0" borderId="22" xfId="0" applyFont="1" applyBorder="1" applyAlignment="1">
      <alignment horizontal="center"/>
    </xf>
    <xf numFmtId="0" fontId="3" fillId="0" borderId="43" xfId="0" applyFont="1" applyBorder="1"/>
    <xf numFmtId="0" fontId="3" fillId="0" borderId="44" xfId="0" applyFont="1" applyBorder="1"/>
    <xf numFmtId="0" fontId="1" fillId="0" borderId="9" xfId="0" applyFont="1" applyBorder="1" applyAlignment="1">
      <alignment horizontal="right" vertical="center"/>
    </xf>
    <xf numFmtId="0" fontId="3" fillId="0" borderId="29" xfId="0" applyFont="1" applyBorder="1"/>
    <xf numFmtId="0" fontId="1" fillId="0" borderId="14" xfId="0" applyFont="1" applyBorder="1" applyAlignment="1">
      <alignment horizontal="right" vertical="center"/>
    </xf>
    <xf numFmtId="0" fontId="3" fillId="0" borderId="31" xfId="0" applyFont="1" applyBorder="1"/>
    <xf numFmtId="0" fontId="1" fillId="3" borderId="28" xfId="0" applyFont="1" applyFill="1" applyBorder="1" applyAlignment="1">
      <alignment horizontal="right"/>
    </xf>
    <xf numFmtId="0" fontId="3" fillId="0" borderId="30" xfId="0" applyFont="1" applyBorder="1"/>
    <xf numFmtId="0" fontId="1" fillId="0" borderId="32" xfId="0" applyFont="1" applyBorder="1" applyAlignment="1">
      <alignment horizontal="right" vertical="center"/>
    </xf>
    <xf numFmtId="0" fontId="3" fillId="0" borderId="33" xfId="0" applyFont="1" applyBorder="1"/>
    <xf numFmtId="0" fontId="1" fillId="0" borderId="35" xfId="0" applyFont="1" applyBorder="1" applyAlignment="1">
      <alignment horizontal="right" vertical="center"/>
    </xf>
    <xf numFmtId="0" fontId="3" fillId="0" borderId="36" xfId="0" applyFont="1" applyBorder="1"/>
    <xf numFmtId="0" fontId="1" fillId="0" borderId="32" xfId="0" applyFont="1" applyBorder="1" applyAlignment="1">
      <alignment horizontal="right" vertical="center" wrapText="1"/>
    </xf>
    <xf numFmtId="0" fontId="3" fillId="0" borderId="21" xfId="0" applyFont="1" applyBorder="1"/>
    <xf numFmtId="0" fontId="3" fillId="0" borderId="25" xfId="0" applyFont="1" applyBorder="1"/>
    <xf numFmtId="0" fontId="1" fillId="4" borderId="34" xfId="0" applyFont="1" applyFill="1" applyBorder="1" applyAlignment="1">
      <alignment horizontal="right" vertical="center" wrapText="1"/>
    </xf>
    <xf numFmtId="0" fontId="3" fillId="0" borderId="38" xfId="0" applyFont="1" applyBorder="1"/>
    <xf numFmtId="44" fontId="1" fillId="3" borderId="52" xfId="0" applyNumberFormat="1" applyFont="1" applyFill="1" applyBorder="1"/>
    <xf numFmtId="44" fontId="1" fillId="3" borderId="53" xfId="0" applyNumberFormat="1" applyFont="1" applyFill="1" applyBorder="1"/>
    <xf numFmtId="44" fontId="1" fillId="3" borderId="50" xfId="0" applyNumberFormat="1" applyFont="1" applyFill="1" applyBorder="1"/>
    <xf numFmtId="44" fontId="1" fillId="3" borderId="51" xfId="0" applyNumberFormat="1" applyFont="1" applyFill="1" applyBorder="1"/>
    <xf numFmtId="0" fontId="1" fillId="0" borderId="9" xfId="0" applyFont="1" applyBorder="1" applyAlignment="1">
      <alignment horizontal="right"/>
    </xf>
    <xf numFmtId="0" fontId="3" fillId="0" borderId="10" xfId="0" applyFont="1" applyBorder="1"/>
    <xf numFmtId="0" fontId="1" fillId="4" borderId="5" xfId="0" applyFont="1" applyFill="1" applyBorder="1" applyAlignment="1">
      <alignment horizontal="center" vertical="center" wrapText="1"/>
    </xf>
    <xf numFmtId="0" fontId="3" fillId="0" borderId="12" xfId="0" applyFont="1" applyBorder="1"/>
    <xf numFmtId="0" fontId="3" fillId="0" borderId="13" xfId="0" applyFont="1" applyBorder="1"/>
    <xf numFmtId="0" fontId="3" fillId="0" borderId="8" xfId="0" applyFont="1" applyBorder="1"/>
    <xf numFmtId="0" fontId="0" fillId="0" borderId="0" xfId="0"/>
    <xf numFmtId="0" fontId="3" fillId="0" borderId="17" xfId="0" applyFont="1" applyBorder="1"/>
    <xf numFmtId="0" fontId="3" fillId="0" borderId="26" xfId="0" applyFont="1" applyBorder="1"/>
    <xf numFmtId="0" fontId="1" fillId="0" borderId="14" xfId="0" applyFont="1" applyBorder="1" applyAlignment="1">
      <alignment horizontal="right"/>
    </xf>
    <xf numFmtId="0" fontId="3" fillId="0" borderId="15" xfId="0" applyFont="1" applyBorder="1"/>
    <xf numFmtId="0" fontId="1" fillId="0" borderId="18" xfId="0" applyFont="1" applyBorder="1" applyAlignment="1">
      <alignment horizontal="right"/>
    </xf>
    <xf numFmtId="0" fontId="3" fillId="0" borderId="19" xfId="0" applyFont="1" applyBorder="1"/>
    <xf numFmtId="0" fontId="4" fillId="0" borderId="0" xfId="0" applyFont="1" applyAlignment="1">
      <alignment horizontal="center" vertical="center" wrapText="1"/>
    </xf>
    <xf numFmtId="0" fontId="1" fillId="0" borderId="22" xfId="0" applyFont="1" applyBorder="1" applyAlignment="1">
      <alignment horizontal="right"/>
    </xf>
    <xf numFmtId="0" fontId="3" fillId="0" borderId="23" xfId="0" applyFont="1" applyBorder="1"/>
    <xf numFmtId="0" fontId="11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5" Target="metadata" Type="http://customschemas.google.com/relationships/workbookmetadata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200026</xdr:colOff>
      <xdr:row>0</xdr:row>
      <xdr:rowOff>132022</xdr:rowOff>
    </xdr:from>
    <xdr:ext cx="1257300" cy="12001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6" y="132022"/>
          <a:ext cx="1257300" cy="12001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E1" zoomScale="117" zoomScaleNormal="63" workbookViewId="0">
      <selection activeCell="N11" sqref="N11"/>
    </sheetView>
  </sheetViews>
  <sheetFormatPr defaultColWidth="12.6328125" defaultRowHeight="15" customHeight="1" x14ac:dyDescent="0.25"/>
  <cols>
    <col min="1" max="1" customWidth="true" width="2.90625"/>
    <col min="2" max="2" customWidth="true" width="18.08984375"/>
    <col min="3" max="3" customWidth="true" width="19.36328125"/>
    <col min="4" max="4" customWidth="true" width="10.08984375"/>
    <col min="5" max="5" customWidth="true" width="32.81640625"/>
    <col min="6" max="6" customWidth="true" width="2.453125"/>
    <col min="7" max="7" customWidth="true" width="23.08984375"/>
    <col min="8" max="8" customWidth="true" width="19.36328125"/>
    <col min="9" max="9" customWidth="true" width="10.08984375"/>
    <col min="10" max="10" customWidth="true" width="32.81640625"/>
    <col min="11" max="11" customWidth="true" width="2.453125"/>
    <col min="12" max="26" customWidth="true" width="8.6328125"/>
  </cols>
  <sheetData>
    <row r="1" spans="1:26" ht="12.7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5" customHeight="1" x14ac:dyDescent="0.3">
      <c r="A2" s="5"/>
      <c r="B2" s="50" t="n">
        <f>I11</f>
        <v>325.0</v>
      </c>
      <c r="C2" s="6" t="s">
        <v>0</v>
      </c>
      <c r="D2" s="7" t="s">
        <v>1</v>
      </c>
      <c r="E2" s="8"/>
      <c r="F2" s="9"/>
      <c r="G2" s="10" t="s">
        <v>2</v>
      </c>
      <c r="H2" s="11"/>
      <c r="I2" s="11"/>
      <c r="J2" s="12"/>
      <c r="K2" s="13"/>
      <c r="L2" s="92" t="s">
        <v>34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5"/>
      <c r="B3" s="49" t="n">
        <f>I12</f>
        <v>180.0</v>
      </c>
      <c r="C3" s="76" t="s">
        <v>28</v>
      </c>
      <c r="D3" s="77"/>
      <c r="E3" s="14" t="s">
        <v>35</v>
      </c>
      <c r="F3" s="9"/>
      <c r="G3" s="78"/>
      <c r="H3" s="79"/>
      <c r="I3" s="79"/>
      <c r="J3" s="80"/>
      <c r="K3" s="13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5"/>
      <c r="B4" s="49" t="n">
        <f>I15</f>
        <v>505.0</v>
      </c>
      <c r="C4" s="85" t="s">
        <v>32</v>
      </c>
      <c r="D4" s="86"/>
      <c r="E4" s="15" t="s">
        <v>36</v>
      </c>
      <c r="F4" s="9"/>
      <c r="G4" s="81"/>
      <c r="H4" s="82"/>
      <c r="I4" s="82"/>
      <c r="J4" s="83"/>
      <c r="K4" s="1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5"/>
      <c r="B5" s="51" t="str">
        <f>E10</f>
        <v>Abby</v>
      </c>
      <c r="C5" s="87" t="s">
        <v>3</v>
      </c>
      <c r="D5" s="88"/>
      <c r="E5" s="16" t="s">
        <v>37</v>
      </c>
      <c r="F5" s="9"/>
      <c r="G5" s="81"/>
      <c r="H5" s="82"/>
      <c r="I5" s="82"/>
      <c r="J5" s="83"/>
      <c r="K5" s="13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5"/>
      <c r="B6" s="51" t="n">
        <f>E11</f>
        <v>46165.208333333336</v>
      </c>
      <c r="C6" s="89" t="s">
        <v>4</v>
      </c>
      <c r="D6" s="82"/>
      <c r="E6" s="83"/>
      <c r="F6" s="17"/>
      <c r="G6" s="81"/>
      <c r="H6" s="82"/>
      <c r="I6" s="82"/>
      <c r="J6" s="83"/>
      <c r="K6" s="13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" customHeight="1" x14ac:dyDescent="0.3">
      <c r="A7" s="5"/>
      <c r="B7" s="51" t="str">
        <f>E12</f>
        <v>my house</v>
      </c>
      <c r="C7" s="82"/>
      <c r="D7" s="82"/>
      <c r="E7" s="83"/>
      <c r="F7" s="17"/>
      <c r="G7" s="81"/>
      <c r="H7" s="82"/>
      <c r="I7" s="82"/>
      <c r="J7" s="83"/>
      <c r="K7" s="13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3.75" customHeight="1" x14ac:dyDescent="0.3">
      <c r="A8" s="5"/>
      <c r="B8" s="52" t="s">
        <v>29</v>
      </c>
      <c r="C8" s="90" t="s">
        <v>5</v>
      </c>
      <c r="D8" s="91"/>
      <c r="E8" s="18" t="s">
        <v>36</v>
      </c>
      <c r="F8" s="9"/>
      <c r="G8" s="68"/>
      <c r="H8" s="69"/>
      <c r="I8" s="69"/>
      <c r="J8" s="84"/>
      <c r="K8" s="13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5"/>
      <c r="B9" s="19"/>
      <c r="C9" s="19"/>
      <c r="D9" s="19"/>
      <c r="E9" s="19"/>
      <c r="F9" s="9"/>
      <c r="G9" s="9"/>
      <c r="H9" s="9"/>
      <c r="I9" s="9"/>
      <c r="J9" s="9"/>
      <c r="K9" s="13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20"/>
      <c r="B10" s="57" t="s">
        <v>6</v>
      </c>
      <c r="C10" s="58"/>
      <c r="D10" s="58"/>
      <c r="E10" s="21" t="s">
        <v>38</v>
      </c>
      <c r="F10" s="22"/>
      <c r="G10" s="23"/>
      <c r="H10" s="24"/>
      <c r="I10" s="24"/>
      <c r="J10" s="8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20"/>
      <c r="B11" s="59" t="s">
        <v>33</v>
      </c>
      <c r="C11" s="60"/>
      <c r="D11" s="60"/>
      <c r="E11" s="53" t="n">
        <v>46165.208333333336</v>
      </c>
      <c r="F11" s="22"/>
      <c r="G11" s="61" t="s">
        <v>7</v>
      </c>
      <c r="H11" s="62"/>
      <c r="I11" s="72" t="n">
        <f>SUM(E21:E36)</f>
        <v>325.0</v>
      </c>
      <c r="J11" s="73"/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20"/>
      <c r="B12" s="63" t="s">
        <v>8</v>
      </c>
      <c r="C12" s="64"/>
      <c r="D12" s="64"/>
      <c r="E12" s="27" t="s">
        <v>39</v>
      </c>
      <c r="F12" s="22"/>
      <c r="G12" s="61" t="s">
        <v>9</v>
      </c>
      <c r="H12" s="62"/>
      <c r="I12" s="74" t="n">
        <f>SUM(J21:J36)</f>
        <v>180.0</v>
      </c>
      <c r="J12" s="75"/>
      <c r="K12" s="13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20"/>
      <c r="B13" s="57" t="s">
        <v>20</v>
      </c>
      <c r="C13" s="58"/>
      <c r="D13" s="58"/>
      <c r="E13" s="21" t="s">
        <v>40</v>
      </c>
      <c r="F13" s="22"/>
      <c r="G13" s="28"/>
      <c r="H13" s="29"/>
      <c r="I13" s="29"/>
      <c r="J13" s="26"/>
      <c r="K13" s="13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20"/>
      <c r="B14" s="65" t="s">
        <v>10</v>
      </c>
      <c r="C14" s="66"/>
      <c r="D14" s="66"/>
      <c r="E14" s="30" t="s">
        <v>41</v>
      </c>
      <c r="F14" s="22"/>
      <c r="G14" s="28"/>
      <c r="H14" s="29"/>
      <c r="I14" s="29"/>
      <c r="J14" s="26"/>
      <c r="K14" s="13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20"/>
      <c r="B15" s="59" t="s">
        <v>11</v>
      </c>
      <c r="C15" s="60"/>
      <c r="D15" s="60"/>
      <c r="E15" s="25" t="s">
        <v>42</v>
      </c>
      <c r="F15" s="22"/>
      <c r="G15" s="61" t="s">
        <v>12</v>
      </c>
      <c r="H15" s="62"/>
      <c r="I15" s="72" t="n">
        <f>I12+I11</f>
        <v>505.0</v>
      </c>
      <c r="J15" s="73"/>
      <c r="K15" s="13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20"/>
      <c r="B16" s="67" t="s">
        <v>13</v>
      </c>
      <c r="C16" s="64"/>
      <c r="D16" s="64"/>
      <c r="E16" s="70" t="s">
        <v>41</v>
      </c>
      <c r="F16" s="22"/>
      <c r="G16" s="61" t="s">
        <v>14</v>
      </c>
      <c r="H16" s="62"/>
      <c r="I16" s="74" t="n">
        <f>I15/66</f>
        <v>7.651515151515151</v>
      </c>
      <c r="J16" s="75"/>
      <c r="K16" s="13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20"/>
      <c r="B17" s="68"/>
      <c r="C17" s="69"/>
      <c r="D17" s="69"/>
      <c r="E17" s="71"/>
      <c r="F17" s="22"/>
      <c r="G17" s="31"/>
      <c r="H17" s="32"/>
      <c r="I17" s="32"/>
      <c r="J17" s="33"/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5"/>
      <c r="B18" s="34"/>
      <c r="C18" s="34"/>
      <c r="D18" s="34"/>
      <c r="E18" s="34"/>
      <c r="F18" s="9"/>
      <c r="G18" s="9"/>
      <c r="H18" s="9"/>
      <c r="I18" s="9"/>
      <c r="J18" s="9"/>
      <c r="K18" s="13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5"/>
      <c r="B19" s="54" t="s">
        <v>15</v>
      </c>
      <c r="C19" s="55"/>
      <c r="D19" s="55"/>
      <c r="E19" s="56"/>
      <c r="F19" s="9"/>
      <c r="G19" s="54" t="s">
        <v>16</v>
      </c>
      <c r="H19" s="55"/>
      <c r="I19" s="55"/>
      <c r="J19" s="56"/>
      <c r="K19" s="13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5"/>
      <c r="B20" s="35" t="s">
        <v>18</v>
      </c>
      <c r="C20" s="36" t="s">
        <v>17</v>
      </c>
      <c r="D20" s="36" t="s">
        <v>30</v>
      </c>
      <c r="E20" s="37" t="s">
        <v>31</v>
      </c>
      <c r="F20" s="9"/>
      <c r="G20" s="35" t="s">
        <v>19</v>
      </c>
      <c r="H20" s="36" t="s">
        <v>17</v>
      </c>
      <c r="I20" s="36" t="s">
        <v>30</v>
      </c>
      <c r="J20" s="37" t="s">
        <v>31</v>
      </c>
      <c r="K20" s="13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5"/>
      <c r="B21" s="38"/>
      <c r="C21" s="39"/>
      <c r="D21" s="43"/>
      <c r="E21" s="44"/>
      <c r="F21" s="9"/>
      <c r="G21" s="38"/>
      <c r="H21" s="39"/>
      <c r="I21" s="43"/>
      <c r="J21" s="44"/>
      <c r="K21" s="13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5"/>
      <c r="B22" s="38" t="s">
        <v>38</v>
      </c>
      <c r="C22" s="39" t="s">
        <v>43</v>
      </c>
      <c r="D22" s="43" t="n">
        <v>250.0</v>
      </c>
      <c r="E22" s="44" t="n">
        <v>250.0</v>
      </c>
      <c r="F22" s="9"/>
      <c r="G22" s="38" t="s">
        <v>38</v>
      </c>
      <c r="H22" s="39" t="s">
        <v>45</v>
      </c>
      <c r="I22" s="43" t="n">
        <v>100.0</v>
      </c>
      <c r="J22" s="44" t="n">
        <v>100.0</v>
      </c>
      <c r="K22" s="13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5"/>
      <c r="B23" s="38" t="s">
        <v>38</v>
      </c>
      <c r="C23" s="39" t="s">
        <v>44</v>
      </c>
      <c r="D23" s="43" t="n">
        <v>75.0</v>
      </c>
      <c r="E23" s="44" t="n">
        <v>75.0</v>
      </c>
      <c r="F23" s="9"/>
      <c r="G23" s="38" t="s">
        <v>38</v>
      </c>
      <c r="H23" s="39" t="s">
        <v>44</v>
      </c>
      <c r="I23" s="43" t="n">
        <v>80.0</v>
      </c>
      <c r="J23" s="44" t="n">
        <v>80.0</v>
      </c>
      <c r="K23" s="13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5"/>
      <c r="B24" s="38"/>
      <c r="C24" s="39"/>
      <c r="D24" s="43"/>
      <c r="E24" s="44"/>
      <c r="F24" s="9"/>
      <c r="G24" s="38"/>
      <c r="H24" s="39"/>
      <c r="I24" s="43"/>
      <c r="J24" s="44"/>
      <c r="K24" s="13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5"/>
      <c r="B25" s="38"/>
      <c r="C25" s="39"/>
      <c r="D25" s="43"/>
      <c r="E25" s="44"/>
      <c r="F25" s="9"/>
      <c r="G25" s="38"/>
      <c r="H25" s="39"/>
      <c r="I25" s="43"/>
      <c r="J25" s="44"/>
      <c r="K25" s="13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5"/>
      <c r="B26" s="38"/>
      <c r="C26" s="39"/>
      <c r="D26" s="43"/>
      <c r="E26" s="44"/>
      <c r="F26" s="9"/>
      <c r="G26" s="38"/>
      <c r="H26" s="39"/>
      <c r="I26" s="43"/>
      <c r="J26" s="44"/>
      <c r="K26" s="13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20"/>
      <c r="B27" s="38"/>
      <c r="C27" s="39"/>
      <c r="D27" s="43"/>
      <c r="E27" s="44"/>
      <c r="F27" s="34"/>
      <c r="G27" s="38"/>
      <c r="H27" s="39"/>
      <c r="I27" s="43"/>
      <c r="J27" s="44"/>
      <c r="K27" s="45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5"/>
      <c r="B28" s="38"/>
      <c r="C28" s="39"/>
      <c r="D28" s="43"/>
      <c r="E28" s="44"/>
      <c r="F28" s="9"/>
      <c r="G28" s="38"/>
      <c r="H28" s="39"/>
      <c r="I28" s="43"/>
      <c r="J28" s="44"/>
      <c r="K28" s="13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5"/>
      <c r="B29" s="38"/>
      <c r="C29" s="39"/>
      <c r="D29" s="43"/>
      <c r="E29" s="44"/>
      <c r="F29" s="9"/>
      <c r="G29" s="38"/>
      <c r="H29" s="39"/>
      <c r="I29" s="43"/>
      <c r="J29" s="44"/>
      <c r="K29" s="13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5"/>
      <c r="B30" s="38"/>
      <c r="C30" s="39"/>
      <c r="D30" s="43"/>
      <c r="E30" s="44"/>
      <c r="F30" s="9"/>
      <c r="G30" s="38"/>
      <c r="H30" s="39"/>
      <c r="I30" s="43"/>
      <c r="J30" s="44"/>
      <c r="K30" s="13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5"/>
      <c r="B31" s="38"/>
      <c r="C31" s="39"/>
      <c r="D31" s="43"/>
      <c r="E31" s="44"/>
      <c r="F31" s="9"/>
      <c r="G31" s="38"/>
      <c r="H31" s="39"/>
      <c r="I31" s="43"/>
      <c r="J31" s="44"/>
      <c r="K31" s="13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5"/>
      <c r="B32" s="38"/>
      <c r="C32" s="39"/>
      <c r="D32" s="43"/>
      <c r="E32" s="44"/>
      <c r="F32" s="9"/>
      <c r="G32" s="38"/>
      <c r="H32" s="39"/>
      <c r="I32" s="43"/>
      <c r="J32" s="44"/>
      <c r="K32" s="13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5"/>
      <c r="B33" s="38"/>
      <c r="C33" s="39"/>
      <c r="D33" s="43"/>
      <c r="E33" s="44"/>
      <c r="F33" s="9"/>
      <c r="G33" s="38"/>
      <c r="H33" s="39"/>
      <c r="I33" s="43"/>
      <c r="J33" s="44"/>
      <c r="K33" s="13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5"/>
      <c r="B34" s="38"/>
      <c r="C34" s="39"/>
      <c r="D34" s="43"/>
      <c r="E34" s="44"/>
      <c r="F34" s="9"/>
      <c r="G34" s="38"/>
      <c r="H34" s="39"/>
      <c r="I34" s="43"/>
      <c r="J34" s="44"/>
      <c r="K34" s="13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5"/>
      <c r="B35" s="38"/>
      <c r="C35" s="39"/>
      <c r="D35" s="43"/>
      <c r="E35" s="44"/>
      <c r="F35" s="9"/>
      <c r="G35" s="38"/>
      <c r="H35" s="39"/>
      <c r="I35" s="43"/>
      <c r="J35" s="44"/>
      <c r="K35" s="13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5"/>
      <c r="B36" s="38"/>
      <c r="C36" s="39"/>
      <c r="D36" s="43"/>
      <c r="E36" s="44"/>
      <c r="F36" s="9"/>
      <c r="G36" s="38"/>
      <c r="H36" s="39"/>
      <c r="I36" s="43"/>
      <c r="J36" s="44"/>
      <c r="K36" s="13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0"/>
      <c r="B37" s="41"/>
      <c r="C37" s="41"/>
      <c r="D37" s="41"/>
      <c r="E37" s="41"/>
      <c r="F37" s="41"/>
      <c r="G37" s="41"/>
      <c r="H37" s="41"/>
      <c r="I37" s="41"/>
      <c r="J37" s="41"/>
      <c r="K37" s="42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 x14ac:dyDescent="0.3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 x14ac:dyDescent="0.3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 x14ac:dyDescent="0.3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 x14ac:dyDescent="0.3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mergeCells count="24">
    <mergeCell ref="I11:J11"/>
    <mergeCell ref="I12:J12"/>
    <mergeCell ref="C3:D3"/>
    <mergeCell ref="G3:J8"/>
    <mergeCell ref="C4:D4"/>
    <mergeCell ref="C5:D5"/>
    <mergeCell ref="C6:E7"/>
    <mergeCell ref="C8:D8"/>
    <mergeCell ref="B19:E19"/>
    <mergeCell ref="G19:J19"/>
    <mergeCell ref="B10:D10"/>
    <mergeCell ref="B11:D11"/>
    <mergeCell ref="G11:H11"/>
    <mergeCell ref="B12:D12"/>
    <mergeCell ref="G12:H12"/>
    <mergeCell ref="B13:D13"/>
    <mergeCell ref="B14:D14"/>
    <mergeCell ref="B15:D15"/>
    <mergeCell ref="G15:H15"/>
    <mergeCell ref="B16:D17"/>
    <mergeCell ref="E16:E17"/>
    <mergeCell ref="G16:H16"/>
    <mergeCell ref="I15:J15"/>
    <mergeCell ref="I16:J16"/>
  </mergeCells>
  <dataValidations count="2">
    <dataValidation type="decimal" operator="greaterThanOrEqual" allowBlank="1" showErrorMessage="1" errorTitle="Must Be a Number" error="Only numbers greater than $0 are allowed in the &quot;Cost&quot; and &quot;Amount Requesting&quot; columns" sqref="I21:J36 D21:E36" xr:uid="{C5EDC174-BEBD-42B4-BCFC-8301D121CB22}">
      <formula1>0</formula1>
    </dataValidation>
    <dataValidation type="date" operator="greaterThan" allowBlank="1" showInputMessage="1" showErrorMessage="1" errorTitle="Must Be a Date" error="The Event Date must be a valid Date_x000a_" sqref="E11" xr:uid="{1890907C-9656-42A6-94E1-48B4D0AB0635}">
      <formula1>46023</formula1>
    </dataValidation>
  </dataValidation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65E7-E38B-490F-AE00-78DDF7115C82}">
  <dimension ref="A1:A13"/>
  <sheetViews>
    <sheetView workbookViewId="0">
      <selection activeCell="G27" sqref="G27"/>
    </sheetView>
  </sheetViews>
  <sheetFormatPr defaultRowHeight="12.5" x14ac:dyDescent="0.25"/>
  <sheetData>
    <row r="1" spans="1:1" s="48" customFormat="1" ht="22.5" x14ac:dyDescent="0.45">
      <c r="A1" s="47" t="s">
        <v>21</v>
      </c>
    </row>
    <row r="2" spans="1:1" ht="13" x14ac:dyDescent="0.25">
      <c r="A2" s="46"/>
    </row>
    <row r="3" spans="1:1" ht="13" x14ac:dyDescent="0.25">
      <c r="A3" s="46" t="s">
        <v>22</v>
      </c>
    </row>
    <row r="4" spans="1:1" ht="13" x14ac:dyDescent="0.25">
      <c r="A4" s="46"/>
    </row>
    <row r="5" spans="1:1" ht="13" x14ac:dyDescent="0.25">
      <c r="A5" s="46" t="s">
        <v>23</v>
      </c>
    </row>
    <row r="6" spans="1:1" ht="13" x14ac:dyDescent="0.25">
      <c r="A6" s="46"/>
    </row>
    <row r="7" spans="1:1" ht="13" x14ac:dyDescent="0.25">
      <c r="A7" s="46" t="s">
        <v>24</v>
      </c>
    </row>
    <row r="8" spans="1:1" ht="13" x14ac:dyDescent="0.25">
      <c r="A8" s="46"/>
    </row>
    <row r="9" spans="1:1" ht="13" x14ac:dyDescent="0.25">
      <c r="A9" s="46" t="s">
        <v>25</v>
      </c>
    </row>
    <row r="10" spans="1:1" ht="13" x14ac:dyDescent="0.25">
      <c r="A10" s="46"/>
    </row>
    <row r="11" spans="1:1" ht="13" x14ac:dyDescent="0.25">
      <c r="A11" s="46" t="s">
        <v>26</v>
      </c>
    </row>
    <row r="12" spans="1:1" ht="13" x14ac:dyDescent="0.25">
      <c r="A12" s="46"/>
    </row>
    <row r="13" spans="1:1" ht="13" x14ac:dyDescent="0.25">
      <c r="A13" s="4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Proposal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2026-02-19T14:34:21Z</dcterms:created>
  <cp:lastModifiedBy>Stephen P Foster</cp:lastModifiedBy>
  <dcterms:modified xsi:type="dcterms:W3CDTF">2026-03-10T03:11:32Z</dcterms:modified>
</cp:coreProperties>
</file>